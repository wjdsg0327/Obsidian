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18bf83484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索引" sheetId="1" r:id="Rcd0994553b3c4ebf"/>
    <x:sheet xmlns:r="http://schemas.openxmlformats.org/officeDocument/2006/relationships" name="使用说明" sheetId="2" r:id="Rea51fe903c67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269"/>
      <x:name val="Carlito"/>
    </x:font>
    <x:font>
      <x:b/>
      <x:sz val="11"/>
      <x:color rgb="FFFFFFFF"/>
      <x:name val="Carlito"/>
    </x:font>
    <x:font>
      <x:sz val="9"/>
      <x:color rgb="FF263746"/>
      <x:name val="Carlito"/>
    </x:font>
    <x:font>
      <x:b/>
      <x:sz val="11"/>
      <x:color rgb="FF17324D"/>
      <x:name val="Carlito"/>
    </x:font>
    <x:font>
      <x:sz val="10"/>
      <x:color rgb="FF26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4FA"/>
      </x:patternFill>
    </x:fill>
    <x:fill>
      <x:patternFill patternType="solid">
        <x:fgColor rgb="FF2563A6"/>
      </x:patternFill>
    </x:fill>
  </x:fills>
  <x:borders count="1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200" fontId="4" fillId="0" borderId="11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201" fontId="4" fillId="0" borderId="11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0" fillId="0" borderId="13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3eebc728c469e" /><Relationship Type="http://schemas.openxmlformats.org/officeDocument/2006/relationships/theme" Target="/xl/theme/theme1.xml" Id="R08a57b2094994358" /><Relationship Type="http://schemas.openxmlformats.org/officeDocument/2006/relationships/sharedStrings" Target="/xl/sharedStrings.xml" Id="Rf7d32e5a798346b1" /><Relationship Type="http://schemas.openxmlformats.org/officeDocument/2006/relationships/worksheet" Target="/xl/worksheets/sheet1.xml" Id="Rcd0994553b3c4ebf" /><Relationship Type="http://schemas.openxmlformats.org/officeDocument/2006/relationships/worksheet" Target="/xl/worksheets/sheet2.xml" Id="Rea51fe903c6744ad" /></Relationships>
</file>

<file path=xl/tables/table1.xml><?xml version="1.0" encoding="utf-8"?>
<x:table xmlns:x="http://schemas.openxmlformats.org/spreadsheetml/2006/main" id="1" name="ResourcesTable" displayName="ResourcesTable" ref="A4:M25" headerRowCount="1" totalsRowCount="0" totalsRowShown="0">
  <x:tableColumns count="13">
    <x:tableColumn id="1" name="序号"/>
    <x:tableColumn id="2" name="分类"/>
    <x:tableColumn id="3" name="资料标题"/>
    <x:tableColumn id="4" name="难度"/>
    <x:tableColumn id="5" name="语言"/>
    <x:tableColumn id="6" name="来源 URL"/>
    <x:tableColumn id="7" name="授权状态"/>
    <x:tableColumn id="8" name="本地状态"/>
    <x:tableColumn id="9" name="本地路径"/>
    <x:tableColumn id="10" name="文件大小 KB"/>
    <x:tableColumn id="11" name="SHA-256"/>
    <x:tableColumn id="12" name="访问日期"/>
    <x:tableColumn id="1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0a4ae27a64b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36" hidden="0" customWidth="1"/>
    <x:col min="4" max="4" width="10" hidden="0" customWidth="1"/>
    <x:col min="5" max="5" width="10" hidden="0" customWidth="1"/>
    <x:col min="6" max="6" width="46" hidden="0" customWidth="1"/>
    <x:col min="7" max="7" width="28" hidden="0" customWidth="1"/>
    <x:col min="8" max="8" width="12" hidden="0" customWidth="1"/>
    <x:col min="9" max="9" width="42" hidden="0" customWidth="1"/>
    <x:col min="10" max="10" width="13" hidden="0" customWidth="1"/>
    <x:col min="11" max="11" width="36" hidden="0" customWidth="1"/>
    <x:col min="12" max="12" width="13" hidden="0" customWidth="1"/>
    <x:col min="13" max="13" width="40" hidden="0" customWidth="1"/>
  </x:cols>
  <x:sheetData>
    <x:row r="1" ht="30" customHeight="1">
      <x:c r="A1" s="2" t="str">
        <x:v>SIFT 与 SURF 学习资源索引</x:v>
      </x:c>
      <x:c r="B1" s="2" t="str">
        <x:v>SIFT 与 SURF 学习资源索引</x:v>
      </x:c>
      <x:c r="C1" s="2" t="str">
        <x:v>SIFT 与 SURF 学习资源索引</x:v>
      </x:c>
      <x:c r="D1" s="2" t="str">
        <x:v>SIFT 与 SURF 学习资源索引</x:v>
      </x:c>
      <x:c r="E1" s="2" t="str">
        <x:v>SIFT 与 SURF 学习资源索引</x:v>
      </x:c>
      <x:c r="F1" s="2" t="str">
        <x:v>SIFT 与 SURF 学习资源索引</x:v>
      </x:c>
      <x:c r="G1" s="2" t="str">
        <x:v>SIFT 与 SURF 学习资源索引</x:v>
      </x:c>
      <x:c r="H1" s="2" t="str">
        <x:v>SIFT 与 SURF 学习资源索引</x:v>
      </x:c>
      <x:c r="I1" s="2" t="str">
        <x:v>SIFT 与 SURF 学习资源索引</x:v>
      </x:c>
      <x:c r="J1" s="2" t="str">
        <x:v>SIFT 与 SURF 学习资源索引</x:v>
      </x:c>
      <x:c r="K1" s="2" t="str">
        <x:v>SIFT 与 SURF 学习资源索引</x:v>
      </x:c>
      <x:c r="L1" s="2" t="str">
        <x:v>SIFT 与 SURF 学习资源索引</x:v>
      </x:c>
      <x:c r="M1" s="2" t="str">
        <x:v>SIFT 与 SURF 学习资源索引</x:v>
      </x:c>
    </x:row>
    <x:row r="2" ht="28" customHeight="1">
      <x:c r="A2" s="5" t="str">
        <x:v>开放资料尽量离线保存；版权受限或大型内容仅保留权威入口。SHA-256 用于校验本地文件。</x:v>
      </x:c>
      <x:c r="B2" s="5" t="str">
        <x:v>开放资料尽量离线保存；版权受限或大型内容仅保留权威入口。SHA-256 用于校验本地文件。</x:v>
      </x:c>
      <x:c r="C2" s="5" t="str">
        <x:v>开放资料尽量离线保存；版权受限或大型内容仅保留权威入口。SHA-256 用于校验本地文件。</x:v>
      </x:c>
      <x:c r="D2" s="5" t="str">
        <x:v>开放资料尽量离线保存；版权受限或大型内容仅保留权威入口。SHA-256 用于校验本地文件。</x:v>
      </x:c>
      <x:c r="E2" s="5" t="str">
        <x:v>开放资料尽量离线保存；版权受限或大型内容仅保留权威入口。SHA-256 用于校验本地文件。</x:v>
      </x:c>
      <x:c r="F2" s="5" t="str">
        <x:v>开放资料尽量离线保存；版权受限或大型内容仅保留权威入口。SHA-256 用于校验本地文件。</x:v>
      </x:c>
      <x:c r="G2" s="5" t="str">
        <x:v>开放资料尽量离线保存；版权受限或大型内容仅保留权威入口。SHA-256 用于校验本地文件。</x:v>
      </x:c>
      <x:c r="H2" s="5" t="str">
        <x:v>开放资料尽量离线保存；版权受限或大型内容仅保留权威入口。SHA-256 用于校验本地文件。</x:v>
      </x:c>
      <x:c r="I2" s="5" t="str">
        <x:v>开放资料尽量离线保存；版权受限或大型内容仅保留权威入口。SHA-256 用于校验本地文件。</x:v>
      </x:c>
      <x:c r="J2" s="5" t="str">
        <x:v>开放资料尽量离线保存；版权受限或大型内容仅保留权威入口。SHA-256 用于校验本地文件。</x:v>
      </x:c>
      <x:c r="K2" s="5" t="str">
        <x:v>开放资料尽量离线保存；版权受限或大型内容仅保留权威入口。SHA-256 用于校验本地文件。</x:v>
      </x:c>
      <x:c r="L2" s="5" t="str">
        <x:v>开放资料尽量离线保存；版权受限或大型内容仅保留权威入口。SHA-256 用于校验本地文件。</x:v>
      </x:c>
      <x:c r="M2" s="5" t="str">
        <x:v>开放资料尽量离线保存；版权受限或大型内容仅保留权威入口。SHA-256 用于校验本地文件。</x:v>
      </x:c>
    </x:row>
    <x:row r="4" ht="28" customHeight="1">
      <x:c r="A4" s="11" t="str">
        <x:v>序号</x:v>
      </x:c>
      <x:c r="B4" s="12" t="str">
        <x:v>分类</x:v>
      </x:c>
      <x:c r="C4" s="12" t="str">
        <x:v>资料标题</x:v>
      </x:c>
      <x:c r="D4" s="12" t="str">
        <x:v>难度</x:v>
      </x:c>
      <x:c r="E4" s="12" t="str">
        <x:v>语言</x:v>
      </x:c>
      <x:c r="F4" s="12" t="str">
        <x:v>来源 URL</x:v>
      </x:c>
      <x:c r="G4" s="12" t="str">
        <x:v>授权状态</x:v>
      </x:c>
      <x:c r="H4" s="12" t="str">
        <x:v>本地状态</x:v>
      </x:c>
      <x:c r="I4" s="12" t="str">
        <x:v>本地路径</x:v>
      </x:c>
      <x:c r="J4" s="12" t="str">
        <x:v>文件大小 KB</x:v>
      </x:c>
      <x:c r="K4" s="12" t="str">
        <x:v>SHA-256</x:v>
      </x:c>
      <x:c r="L4" s="12" t="str">
        <x:v>访问日期</x:v>
      </x:c>
      <x:c r="M4" s="13" t="str">
        <x:v>说明</x:v>
      </x:c>
    </x:row>
    <x:row r="5" ht="42" customHeight="1">
      <x:c r="A5" s="24" t="n">
        <x:v>1</x:v>
      </x:c>
      <x:c r="B5" s="25" t="str">
        <x:v>经典论文</x:v>
      </x:c>
      <x:c r="C5" s="25" t="str">
        <x:v>Distinctive Image Features from Scale-Invariant Keypoints</x:v>
      </x:c>
      <x:c r="D5" s="25" t="str">
        <x:v>进阶</x:v>
      </x:c>
      <x:c r="E5" s="25" t="str">
        <x:v>英文</x:v>
      </x:c>
      <x:c r="F5" s="25" t="str">
        <x:v>https://www.cs.ubc.ca/~lowe/papers/ijcv04.pdf</x:v>
      </x:c>
      <x:c r="G5" s="25" t="str">
        <x:v>作者公开页面；学习引用</x:v>
      </x:c>
      <x:c r="H5" s="25" t="str">
        <x:v>在线索引</x:v>
      </x:c>
      <x:c r="I5" s="25" t="str"/>
      <x:c r="J5" s="33"/>
      <x:c r="K5" s="25" t="str"/>
      <x:c r="L5" s="36" t="str">
        <x:v>2026-07-26</x:v>
      </x:c>
      <x:c r="M5" s="26" t="str">
        <x:v>SIFT 经典完整论文；网络可用时用下载脚本离线保存</x:v>
      </x:c>
    </x:row>
    <x:row r="6" ht="42" customHeight="1">
      <x:c r="A6" s="27" t="n">
        <x:v>2</x:v>
      </x:c>
      <x:c r="B6" s="28" t="str">
        <x:v>经典论文</x:v>
      </x:c>
      <x:c r="C6" s="28" t="str">
        <x:v>SURF: Speeded Up Robust Features</x:v>
      </x:c>
      <x:c r="D6" s="28" t="str">
        <x:v>进阶</x:v>
      </x:c>
      <x:c r="E6" s="28" t="str">
        <x:v>英文</x:v>
      </x:c>
      <x:c r="F6" s="28" t="str">
        <x:v>https://people.ee.ethz.ch/~surf/eccv06.pdf</x:v>
      </x:c>
      <x:c r="G6" s="28" t="str">
        <x:v>作者/机构公开页面；学习引用</x:v>
      </x:c>
      <x:c r="H6" s="28" t="str">
        <x:v>在线索引</x:v>
      </x:c>
      <x:c r="I6" s="28" t="str"/>
      <x:c r="J6" s="34"/>
      <x:c r="K6" s="28" t="str"/>
      <x:c r="L6" s="37" t="str">
        <x:v>2026-07-26</x:v>
      </x:c>
      <x:c r="M6" s="29" t="str">
        <x:v>ECCV 2006 SURF 经典论文；网络可用时用下载脚本离线保存</x:v>
      </x:c>
    </x:row>
    <x:row r="7" ht="42" customHeight="1">
      <x:c r="A7" s="27" t="n">
        <x:v>3</x:v>
      </x:c>
      <x:c r="B7" s="28" t="str">
        <x:v>现代方法</x:v>
      </x:c>
      <x:c r="C7" s="28" t="str">
        <x:v>SuperPoint: Self-Supervised Interest Point Detection and Description</x:v>
      </x:c>
      <x:c r="D7" s="28" t="str">
        <x:v>进阶</x:v>
      </x:c>
      <x:c r="E7" s="28" t="str">
        <x:v>英文</x:v>
      </x:c>
      <x:c r="F7" s="28" t="str">
        <x:v>https://arxiv.org/pdf/1712.07629</x:v>
      </x:c>
      <x:c r="G7" s="28" t="str">
        <x:v>arXiv 公开论文；学习引用</x:v>
      </x:c>
      <x:c r="H7" s="28" t="str">
        <x:v>在线索引</x:v>
      </x:c>
      <x:c r="I7" s="28" t="str"/>
      <x:c r="J7" s="34"/>
      <x:c r="K7" s="28" t="str"/>
      <x:c r="L7" s="37" t="str">
        <x:v>2026-07-26</x:v>
      </x:c>
      <x:c r="M7" s="29" t="str">
        <x:v>用于理解经典方法与学习型局部特征的衔接；网络可用时离线保存</x:v>
      </x:c>
    </x:row>
    <x:row r="8" ht="42" customHeight="1">
      <x:c r="A8" s="27" t="n">
        <x:v>4</x:v>
      </x:c>
      <x:c r="B8" s="28" t="str">
        <x:v>官方教程</x:v>
      </x:c>
      <x:c r="C8" s="28" t="str">
        <x:v>OpenCV Introduction to SIFT</x:v>
      </x:c>
      <x:c r="D8" s="28" t="str">
        <x:v>入门</x:v>
      </x:c>
      <x:c r="E8" s="28" t="str">
        <x:v>英文</x:v>
      </x:c>
      <x:c r="F8" s="28" t="str">
        <x:v>https://docs.opencv.org/4.x/da/df5/tutorial_py_sift_intro.html</x:v>
      </x:c>
      <x:c r="G8" s="28" t="str">
        <x:v>OpenCV 官方文档</x:v>
      </x:c>
      <x:c r="H8" s="28" t="str">
        <x:v>在线索引</x:v>
      </x:c>
      <x:c r="I8" s="28" t="str"/>
      <x:c r="J8" s="34"/>
      <x:c r="K8" s="28" t="str"/>
      <x:c r="L8" s="37" t="str">
        <x:v>2026-07-26</x:v>
      </x:c>
      <x:c r="M8" s="29" t="str">
        <x:v>SIFT Python 教程；网络可用时用下载脚本离线保存</x:v>
      </x:c>
    </x:row>
    <x:row r="9" ht="42" customHeight="1">
      <x:c r="A9" s="27" t="n">
        <x:v>5</x:v>
      </x:c>
      <x:c r="B9" s="28" t="str">
        <x:v>官方教程</x:v>
      </x:c>
      <x:c r="C9" s="28" t="str">
        <x:v>OpenCV Introduction to SURF</x:v>
      </x:c>
      <x:c r="D9" s="28" t="str">
        <x:v>入门</x:v>
      </x:c>
      <x:c r="E9" s="28" t="str">
        <x:v>英文</x:v>
      </x:c>
      <x:c r="F9" s="28" t="str">
        <x:v>https://docs.opencv.org/4.x/df/dd2/tutorial_py_surf_intro.html</x:v>
      </x:c>
      <x:c r="G9" s="28" t="str">
        <x:v>OpenCV 官方文档</x:v>
      </x:c>
      <x:c r="H9" s="28" t="str">
        <x:v>在线索引</x:v>
      </x:c>
      <x:c r="I9" s="28" t="str"/>
      <x:c r="J9" s="34"/>
      <x:c r="K9" s="28" t="str"/>
      <x:c r="L9" s="37" t="str">
        <x:v>2026-07-26</x:v>
      </x:c>
      <x:c r="M9" s="29" t="str">
        <x:v>接口存在不代表当前 OpenCV 构建启用了 SURF</x:v>
      </x:c>
    </x:row>
    <x:row r="10" ht="42" customHeight="1">
      <x:c r="A10" s="27" t="n">
        <x:v>6</x:v>
      </x:c>
      <x:c r="B10" s="28" t="str">
        <x:v>官方教程</x:v>
      </x:c>
      <x:c r="C10" s="28" t="str">
        <x:v>OpenCV Feature Matching</x:v>
      </x:c>
      <x:c r="D10" s="28" t="str">
        <x:v>熟练</x:v>
      </x:c>
      <x:c r="E10" s="28" t="str">
        <x:v>英文</x:v>
      </x:c>
      <x:c r="F10" s="28" t="str">
        <x:v>https://docs.opencv.org/4.x/dc/dc3/tutorial_py_matcher.html</x:v>
      </x:c>
      <x:c r="G10" s="28" t="str">
        <x:v>OpenCV 官方文档</x:v>
      </x:c>
      <x:c r="H10" s="28" t="str">
        <x:v>在线索引</x:v>
      </x:c>
      <x:c r="I10" s="28" t="str"/>
      <x:c r="J10" s="34"/>
      <x:c r="K10" s="28" t="str"/>
      <x:c r="L10" s="37" t="str">
        <x:v>2026-07-26</x:v>
      </x:c>
      <x:c r="M10" s="29" t="str">
        <x:v>BFMatcher、FLANN 与 Lowe 比率测试</x:v>
      </x:c>
    </x:row>
    <x:row r="11" ht="42" customHeight="1">
      <x:c r="A11" s="27" t="n">
        <x:v>7</x:v>
      </x:c>
      <x:c r="B11" s="28" t="str">
        <x:v>官方教程</x:v>
      </x:c>
      <x:c r="C11" s="28" t="str">
        <x:v>OpenCV Feature Matching + Homography</x:v>
      </x:c>
      <x:c r="D11" s="28" t="str">
        <x:v>熟练</x:v>
      </x:c>
      <x:c r="E11" s="28" t="str">
        <x:v>英文</x:v>
      </x:c>
      <x:c r="F11" s="28" t="str">
        <x:v>https://docs.opencv.org/4.x/d1/de0/tutorial_py_feature_homography.html</x:v>
      </x:c>
      <x:c r="G11" s="28" t="str">
        <x:v>OpenCV 官方文档</x:v>
      </x:c>
      <x:c r="H11" s="28" t="str">
        <x:v>在线索引</x:v>
      </x:c>
      <x:c r="I11" s="28" t="str"/>
      <x:c r="J11" s="34"/>
      <x:c r="K11" s="28" t="str"/>
      <x:c r="L11" s="37" t="str">
        <x:v>2026-07-26</x:v>
      </x:c>
      <x:c r="M11" s="29" t="str">
        <x:v>从局部匹配到平面目标定位</x:v>
      </x:c>
    </x:row>
    <x:row r="12" ht="42" customHeight="1">
      <x:c r="A12" s="27" t="n">
        <x:v>8</x:v>
      </x:c>
      <x:c r="B12" s="28" t="str">
        <x:v>示例数据</x:v>
      </x:c>
      <x:c r="C12" s="28" t="str">
        <x:v>OpenCV box.png</x:v>
      </x:c>
      <x:c r="D12" s="28" t="str">
        <x:v>入门</x:v>
      </x:c>
      <x:c r="E12" s="28" t="str">
        <x:v>无</x:v>
      </x:c>
      <x:c r="F12" s="28" t="str">
        <x:v>https://raw.githubusercontent.com/opencv/opencv/4.x/samples/data/box.png</x:v>
      </x:c>
      <x:c r="G12" s="28" t="str">
        <x:v>OpenCV 项目样例；查看项目许可证</x:v>
      </x:c>
      <x:c r="H12" s="28" t="str">
        <x:v>在线索引</x:v>
      </x:c>
      <x:c r="I12" s="28" t="str"/>
      <x:c r="J12" s="34"/>
      <x:c r="K12" s="28" t="str"/>
      <x:c r="L12" s="37" t="str">
        <x:v>2026-07-26</x:v>
      </x:c>
      <x:c r="M12" s="29" t="str">
        <x:v>OpenCV 官方平面目标图；网络可用时用下载脚本保存</x:v>
      </x:c>
    </x:row>
    <x:row r="13" ht="42" customHeight="1">
      <x:c r="A13" s="27" t="n">
        <x:v>9</x:v>
      </x:c>
      <x:c r="B13" s="28" t="str">
        <x:v>示例数据</x:v>
      </x:c>
      <x:c r="C13" s="28" t="str">
        <x:v>OpenCV box_in_scene.png</x:v>
      </x:c>
      <x:c r="D13" s="28" t="str">
        <x:v>入门</x:v>
      </x:c>
      <x:c r="E13" s="28" t="str">
        <x:v>无</x:v>
      </x:c>
      <x:c r="F13" s="28" t="str">
        <x:v>https://raw.githubusercontent.com/opencv/opencv/4.x/samples/data/box_in_scene.png</x:v>
      </x:c>
      <x:c r="G13" s="28" t="str">
        <x:v>OpenCV 项目样例；查看项目许可证</x:v>
      </x:c>
      <x:c r="H13" s="28" t="str">
        <x:v>在线索引</x:v>
      </x:c>
      <x:c r="I13" s="28" t="str"/>
      <x:c r="J13" s="34"/>
      <x:c r="K13" s="28" t="str"/>
      <x:c r="L13" s="37" t="str">
        <x:v>2026-07-26</x:v>
      </x:c>
      <x:c r="M13" s="29" t="str">
        <x:v>OpenCV 官方场景图；网络可用时用下载脚本保存</x:v>
      </x:c>
    </x:row>
    <x:row r="14" ht="42" customHeight="1">
      <x:c r="A14" s="27" t="n">
        <x:v>10</x:v>
      </x:c>
      <x:c r="B14" s="28" t="str">
        <x:v>示例数据</x:v>
      </x:c>
      <x:c r="C14" s="28" t="str">
        <x:v>OpenCV graf1.png</x:v>
      </x:c>
      <x:c r="D14" s="28" t="str">
        <x:v>熟练</x:v>
      </x:c>
      <x:c r="E14" s="28" t="str">
        <x:v>无</x:v>
      </x:c>
      <x:c r="F14" s="28" t="str">
        <x:v>https://raw.githubusercontent.com/opencv/opencv/4.x/samples/data/graf1.png</x:v>
      </x:c>
      <x:c r="G14" s="28" t="str">
        <x:v>OpenCV 项目样例；查看项目许可证</x:v>
      </x:c>
      <x:c r="H14" s="28" t="str">
        <x:v>在线索引</x:v>
      </x:c>
      <x:c r="I14" s="28" t="str"/>
      <x:c r="J14" s="34"/>
      <x:c r="K14" s="28" t="str"/>
      <x:c r="L14" s="37" t="str">
        <x:v>2026-07-26</x:v>
      </x:c>
      <x:c r="M14" s="29" t="str">
        <x:v>OpenCV 官方视角变化样例 A；网络可用时保存</x:v>
      </x:c>
    </x:row>
    <x:row r="15" ht="42" customHeight="1">
      <x:c r="A15" s="27" t="n">
        <x:v>11</x:v>
      </x:c>
      <x:c r="B15" s="28" t="str">
        <x:v>示例数据</x:v>
      </x:c>
      <x:c r="C15" s="28" t="str">
        <x:v>OpenCV graf3.png</x:v>
      </x:c>
      <x:c r="D15" s="28" t="str">
        <x:v>熟练</x:v>
      </x:c>
      <x:c r="E15" s="28" t="str">
        <x:v>无</x:v>
      </x:c>
      <x:c r="F15" s="28" t="str">
        <x:v>https://raw.githubusercontent.com/opencv/opencv/4.x/samples/data/graf3.png</x:v>
      </x:c>
      <x:c r="G15" s="28" t="str">
        <x:v>OpenCV 项目样例；查看项目许可证</x:v>
      </x:c>
      <x:c r="H15" s="28" t="str">
        <x:v>在线索引</x:v>
      </x:c>
      <x:c r="I15" s="28" t="str"/>
      <x:c r="J15" s="34"/>
      <x:c r="K15" s="28" t="str"/>
      <x:c r="L15" s="37" t="str">
        <x:v>2026-07-26</x:v>
      </x:c>
      <x:c r="M15" s="29" t="str">
        <x:v>OpenCV 官方视角变化样例 B；网络可用时保存</x:v>
      </x:c>
    </x:row>
    <x:row r="16" ht="42" customHeight="1">
      <x:c r="A16" s="27" t="n">
        <x:v>12</x:v>
      </x:c>
      <x:c r="B16" s="28" t="str">
        <x:v>本地样例</x:v>
      </x:c>
      <x:c r="C16" s="28" t="str">
        <x:v>可复现的合成目标与场景图</x:v>
      </x:c>
      <x:c r="D16" s="28" t="str">
        <x:v>入门</x:v>
      </x:c>
      <x:c r="E16" s="28" t="str">
        <x:v>无</x:v>
      </x:c>
      <x:c r="F16" s="28" t="str"/>
      <x:c r="G16" s="28" t="str">
        <x:v>本学习包原创生成</x:v>
      </x:c>
      <x:c r="H16" s="28" t="str">
        <x:v>已离线</x:v>
      </x:c>
      <x:c r="I16" s="28" t="str">
        <x:v>09_样例与数据集/opencv_samples/synthetic_object.png</x:v>
      </x:c>
      <x:c r="J16" s="34" t="n">
        <x:v>40</x:v>
      </x:c>
      <x:c r="K16" s="28" t="str">
        <x:v>7d3663c6f8b7da139e29af8be70e23e1ce46008cff5bf790efa829ef46147ff0</x:v>
      </x:c>
      <x:c r="L16" s="37" t="str">
        <x:v>2026-07-26</x:v>
      </x:c>
      <x:c r="M16" s="29" t="str">
        <x:v>目标图；由 scripts/generate_samples.py 固定随机种子生成</x:v>
      </x:c>
    </x:row>
    <x:row r="17" ht="42" customHeight="1">
      <x:c r="A17" s="27" t="n">
        <x:v>13</x:v>
      </x:c>
      <x:c r="B17" s="28" t="str">
        <x:v>本地样例</x:v>
      </x:c>
      <x:c r="C17" s="28" t="str">
        <x:v>可复现的合成目标场景图</x:v>
      </x:c>
      <x:c r="D17" s="28" t="str">
        <x:v>入门</x:v>
      </x:c>
      <x:c r="E17" s="28" t="str">
        <x:v>无</x:v>
      </x:c>
      <x:c r="F17" s="28" t="str"/>
      <x:c r="G17" s="28" t="str">
        <x:v>本学习包原创生成</x:v>
      </x:c>
      <x:c r="H17" s="28" t="str">
        <x:v>已离线</x:v>
      </x:c>
      <x:c r="I17" s="28" t="str">
        <x:v>09_样例与数据集/opencv_samples/synthetic_scene.png</x:v>
      </x:c>
      <x:c r="J17" s="34" t="n">
        <x:v>185.7</x:v>
      </x:c>
      <x:c r="K17" s="28" t="str">
        <x:v>572b3ed7a9925d910309296133d5870c9ffc176ffb4fb31d9d5c86900df74e98</x:v>
      </x:c>
      <x:c r="L17" s="37" t="str">
        <x:v>2026-07-26</x:v>
      </x:c>
      <x:c r="M17" s="29" t="str">
        <x:v>透视变换场景图；由 scripts/generate_samples.py 固定随机种子生成</x:v>
      </x:c>
    </x:row>
    <x:row r="18" ht="42" customHeight="1">
      <x:c r="A18" s="27" t="n">
        <x:v>14</x:v>
      </x:c>
      <x:c r="B18" s="28" t="str">
        <x:v>本地样例</x:v>
      </x:c>
      <x:c r="C18" s="28" t="str">
        <x:v>可复现的合成全景图像对</x:v>
      </x:c>
      <x:c r="D18" s="28" t="str">
        <x:v>熟练</x:v>
      </x:c>
      <x:c r="E18" s="28" t="str">
        <x:v>无</x:v>
      </x:c>
      <x:c r="F18" s="28" t="str"/>
      <x:c r="G18" s="28" t="str">
        <x:v>本学习包原创生成</x:v>
      </x:c>
      <x:c r="H18" s="28" t="str">
        <x:v>已离线</x:v>
      </x:c>
      <x:c r="I18" s="28" t="str">
        <x:v>09_样例与数据集/opencv_samples/synthetic_panorama_a.png</x:v>
      </x:c>
      <x:c r="J18" s="34" t="n">
        <x:v>87.6</x:v>
      </x:c>
      <x:c r="K18" s="28" t="str">
        <x:v>9cbb052f1552ac736288fc991ac3f14ee27918aea1e6ebd11414411a846f0767</x:v>
      </x:c>
      <x:c r="L18" s="37" t="str">
        <x:v>2026-07-26</x:v>
      </x:c>
      <x:c r="M18" s="29" t="str">
        <x:v>全景图像 A；由 scripts/generate_samples.py 固定随机种子生成</x:v>
      </x:c>
    </x:row>
    <x:row r="19" ht="42" customHeight="1">
      <x:c r="A19" s="27" t="n">
        <x:v>15</x:v>
      </x:c>
      <x:c r="B19" s="28" t="str">
        <x:v>本地样例</x:v>
      </x:c>
      <x:c r="C19" s="28" t="str">
        <x:v>可复现的合成全景图像 B</x:v>
      </x:c>
      <x:c r="D19" s="28" t="str">
        <x:v>熟练</x:v>
      </x:c>
      <x:c r="E19" s="28" t="str">
        <x:v>无</x:v>
      </x:c>
      <x:c r="F19" s="28" t="str"/>
      <x:c r="G19" s="28" t="str">
        <x:v>本学习包原创生成</x:v>
      </x:c>
      <x:c r="H19" s="28" t="str">
        <x:v>已离线</x:v>
      </x:c>
      <x:c r="I19" s="28" t="str">
        <x:v>09_样例与数据集/opencv_samples/synthetic_panorama_b.png</x:v>
      </x:c>
      <x:c r="J19" s="34" t="n">
        <x:v>90.6</x:v>
      </x:c>
      <x:c r="K19" s="28" t="str">
        <x:v>fd8101049b3735e8c934c25dd38d36b74f0fadfc5d7afff0fda456c9d7234671</x:v>
      </x:c>
      <x:c r="L19" s="37" t="str">
        <x:v>2026-07-26</x:v>
      </x:c>
      <x:c r="M19" s="29" t="str">
        <x:v>全景图像 B；由 scripts/generate_samples.py 固定随机种子生成</x:v>
      </x:c>
    </x:row>
    <x:row r="20" ht="42" customHeight="1">
      <x:c r="A20" s="27" t="n">
        <x:v>16</x:v>
      </x:c>
      <x:c r="B20" s="28" t="str">
        <x:v>源码</x:v>
      </x:c>
      <x:c r="C20" s="28" t="str">
        <x:v>OpenCV source repository</x:v>
      </x:c>
      <x:c r="D20" s="28" t="str">
        <x:v>进阶</x:v>
      </x:c>
      <x:c r="E20" s="28" t="str">
        <x:v>英文</x:v>
      </x:c>
      <x:c r="F20" s="28" t="str">
        <x:v>https://github.com/opencv/opencv/tree/4.12.0</x:v>
      </x:c>
      <x:c r="G20" s="28" t="str">
        <x:v>Apache-2.0</x:v>
      </x:c>
      <x:c r="H20" s="28" t="str">
        <x:v>在线索引</x:v>
      </x:c>
      <x:c r="I20" s="28" t="str"/>
      <x:c r="J20" s="34"/>
      <x:c r="K20" s="28" t="str"/>
      <x:c r="L20" s="37" t="str">
        <x:v>2026-07-26</x:v>
      </x:c>
      <x:c r="M20" s="29" t="str">
        <x:v>主模块与 SIFT 实现；在线索引</x:v>
      </x:c>
    </x:row>
    <x:row r="21" ht="42" customHeight="1">
      <x:c r="A21" s="27" t="n">
        <x:v>17</x:v>
      </x:c>
      <x:c r="B21" s="28" t="str">
        <x:v>源码</x:v>
      </x:c>
      <x:c r="C21" s="28" t="str">
        <x:v>opencv_contrib source repository</x:v>
      </x:c>
      <x:c r="D21" s="28" t="str">
        <x:v>进阶</x:v>
      </x:c>
      <x:c r="E21" s="28" t="str">
        <x:v>英文</x:v>
      </x:c>
      <x:c r="F21" s="28" t="str">
        <x:v>https://github.com/opencv/opencv_contrib/tree/4.12.0</x:v>
      </x:c>
      <x:c r="G21" s="28" t="str">
        <x:v>Apache-2.0；具体算法另行核查</x:v>
      </x:c>
      <x:c r="H21" s="28" t="str">
        <x:v>在线索引</x:v>
      </x:c>
      <x:c r="I21" s="28" t="str"/>
      <x:c r="J21" s="34"/>
      <x:c r="K21" s="28" t="str"/>
      <x:c r="L21" s="37" t="str">
        <x:v>2026-07-26</x:v>
      </x:c>
      <x:c r="M21" s="29" t="str">
        <x:v>xfeatures2d 与 SURF 源码；在线索引</x:v>
      </x:c>
    </x:row>
    <x:row r="22" ht="42" customHeight="1">
      <x:c r="A22" s="27" t="n">
        <x:v>18</x:v>
      </x:c>
      <x:c r="B22" s="28" t="str">
        <x:v>扩展教程</x:v>
      </x:c>
      <x:c r="C22" s="28" t="str">
        <x:v>VLFeat SIFT overview</x:v>
      </x:c>
      <x:c r="D22" s="28" t="str">
        <x:v>熟练</x:v>
      </x:c>
      <x:c r="E22" s="28" t="str">
        <x:v>英文</x:v>
      </x:c>
      <x:c r="F22" s="28" t="str">
        <x:v>https://www.vlfeat.org/overview/sift.html</x:v>
      </x:c>
      <x:c r="G22" s="28" t="str">
        <x:v>在线公开文档</x:v>
      </x:c>
      <x:c r="H22" s="28" t="str">
        <x:v>在线索引</x:v>
      </x:c>
      <x:c r="I22" s="28" t="str"/>
      <x:c r="J22" s="34"/>
      <x:c r="K22" s="28" t="str"/>
      <x:c r="L22" s="37" t="str">
        <x:v>2026-07-26</x:v>
      </x:c>
      <x:c r="M22" s="29" t="str">
        <x:v>另一种成熟 SIFT 实现与说明</x:v>
      </x:c>
    </x:row>
    <x:row r="23" ht="42" customHeight="1">
      <x:c r="A23" s="27" t="n">
        <x:v>19</x:v>
      </x:c>
      <x:c r="B23" s="28" t="str">
        <x:v>数据集</x:v>
      </x:c>
      <x:c r="C23" s="28" t="str">
        <x:v>Oxford Affine Covariant Features dataset</x:v>
      </x:c>
      <x:c r="D23" s="28" t="str">
        <x:v>进阶</x:v>
      </x:c>
      <x:c r="E23" s="28" t="str">
        <x:v>英文</x:v>
      </x:c>
      <x:c r="F23" s="28" t="str">
        <x:v>https://www.robots.ox.ac.uk/~vgg/research/affine/</x:v>
      </x:c>
      <x:c r="G23" s="28" t="str">
        <x:v>使用前查看数据集页面条款</x:v>
      </x:c>
      <x:c r="H23" s="28" t="str">
        <x:v>在线索引</x:v>
      </x:c>
      <x:c r="I23" s="28" t="str"/>
      <x:c r="J23" s="34"/>
      <x:c r="K23" s="28" t="str"/>
      <x:c r="L23" s="37" t="str">
        <x:v>2026-07-26</x:v>
      </x:c>
      <x:c r="M23" s="29" t="str">
        <x:v>经典局部特征评测数据；按需下载</x:v>
      </x:c>
    </x:row>
    <x:row r="24" ht="42" customHeight="1">
      <x:c r="A24" s="27" t="n">
        <x:v>20</x:v>
      </x:c>
      <x:c r="B24" s="28" t="str">
        <x:v>数据集</x:v>
      </x:c>
      <x:c r="C24" s="28" t="str">
        <x:v>HPatches dataset</x:v>
      </x:c>
      <x:c r="D24" s="28" t="str">
        <x:v>进阶</x:v>
      </x:c>
      <x:c r="E24" s="28" t="str">
        <x:v>英文</x:v>
      </x:c>
      <x:c r="F24" s="28" t="str">
        <x:v>https://github.com/hpatches/hpatches-dataset</x:v>
      </x:c>
      <x:c r="G24" s="28" t="str">
        <x:v>使用前查看仓库许可证</x:v>
      </x:c>
      <x:c r="H24" s="28" t="str">
        <x:v>在线索引</x:v>
      </x:c>
      <x:c r="I24" s="28" t="str"/>
      <x:c r="J24" s="34"/>
      <x:c r="K24" s="28" t="str"/>
      <x:c r="L24" s="37" t="str">
        <x:v>2026-07-26</x:v>
      </x:c>
      <x:c r="M24" s="29" t="str">
        <x:v>局部描述子评测；按需下载</x:v>
      </x:c>
    </x:row>
    <x:row r="25" ht="42" customHeight="1">
      <x:c r="A25" s="30" t="n">
        <x:v>21</x:v>
      </x:c>
      <x:c r="B25" s="31" t="str">
        <x:v>原创导读</x:v>
      </x:c>
      <x:c r="C25" s="31" t="str">
        <x:v>SIFT 与 SURF 经典论文精读指南</x:v>
      </x:c>
      <x:c r="D25" s="31" t="str">
        <x:v>熟练</x:v>
      </x:c>
      <x:c r="E25" s="31" t="str">
        <x:v>中文</x:v>
      </x:c>
      <x:c r="F25" s="31" t="str"/>
      <x:c r="G25" s="31" t="str">
        <x:v>本学习包原创</x:v>
      </x:c>
      <x:c r="H25" s="31" t="str">
        <x:v>已离线</x:v>
      </x:c>
      <x:c r="I25" s="31" t="str">
        <x:v>07_论文与扩展资料/经典论文/论文精读指南.pdf</x:v>
      </x:c>
      <x:c r="J25" s="35" t="n">
        <x:v>249.9</x:v>
      </x:c>
      <x:c r="K25" s="31" t="str">
        <x:v>f1a1b5bd9fa58c265fb2271ca60412b47569b0da1d6e3e48497cb8820e689953</x:v>
      </x:c>
      <x:c r="L25" s="38" t="str">
        <x:v>2026-07-26</x:v>
      </x:c>
      <x:c r="M25" s="32" t="str">
        <x:v>6 页中文离线阅读地图，含原文权威入口</x:v>
      </x:c>
    </x:row>
  </x:sheetData>
  <x:mergeCells>
    <x:mergeCell ref="A1:M1"/>
    <x:mergeCell ref="A2:M2"/>
  </x:mergeCells>
  <x:conditionalFormatting sqref="H5:H25">
    <x:cfRule type="containsText" dxfId="0" priority="1" operator="containsText" text="已离线"/>
    <x:cfRule type="containsText" dxfId="1" priority="2" operator="containsText" text="在线索引"/>
    <x:cfRule type="containsText" dxfId="2" priority="3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25b0a4ae27a64b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2" t="str">
        <x:v>资源索引使用说明</x:v>
      </x:c>
      <x:c r="B1" s="2" t="str">
        <x:v>资源索引使用说明</x:v>
      </x:c>
      <x:c r="C1" s="2" t="str">
        <x:v>资源索引使用说明</x:v>
      </x:c>
      <x:c r="D1" s="2" t="str">
        <x:v>资源索引使用说明</x:v>
      </x:c>
      <x:c r="E1" s="2" t="str">
        <x:v>资源索引使用说明</x:v>
      </x:c>
    </x:row>
    <x:row r="3">
      <x:c r="A3" s="39" t="str">
        <x:v>指标</x:v>
      </x:c>
      <x:c r="B3" s="39" t="str">
        <x:v>值</x:v>
      </x:c>
    </x:row>
    <x:row r="4">
      <x:c r="A4" s="40" t="str">
        <x:v>资料总数</x:v>
      </x:c>
      <x:c r="B4" s="40" t="n">
        <x:f>COUNTA('资源索引'!$C$5:$C$25)</x:f>
        <x:v>21</x:v>
      </x:c>
    </x:row>
    <x:row r="5">
      <x:c r="A5" s="40" t="str">
        <x:v>已离线</x:v>
      </x:c>
      <x:c r="B5" s="40" t="n">
        <x:f>COUNTIF('资源索引'!$H$5:$H$25,"已离线")</x:f>
        <x:v>5</x:v>
      </x:c>
    </x:row>
    <x:row r="6">
      <x:c r="A6" s="40" t="str">
        <x:v>在线索引</x:v>
      </x:c>
      <x:c r="B6" s="40" t="n">
        <x:f>COUNTIF('资源索引'!$H$5:$H$25,"在线索引")</x:f>
        <x:v>16</x:v>
      </x:c>
    </x:row>
    <x:row r="7">
      <x:c r="A7" s="40" t="str">
        <x:v>缺失</x:v>
      </x:c>
      <x:c r="B7" s="40" t="n">
        <x:f>COUNTIF('资源索引'!$H$5:$H$25,"缺失")</x:f>
        <x:v>0</x:v>
      </x:c>
    </x:row>
    <x:row r="8">
      <x:c r="A8" s="40" t="str">
        <x:v>索引日期</x:v>
      </x:c>
      <x:c r="B8" s="40" t="str">
        <x:v>2026-07-26</x:v>
      </x:c>
    </x:row>
    <x:row r="10">
      <x:c r="A10" s="41" t="str">
        <x:v>维护规则</x:v>
      </x:c>
      <x:c r="B10" s="41" t="str">
        <x:v>维护规则</x:v>
      </x:c>
      <x:c r="C10" s="41" t="str">
        <x:v>维护规则</x:v>
      </x:c>
      <x:c r="D10" s="41" t="str">
        <x:v>维护规则</x:v>
      </x:c>
      <x:c r="E10" s="41" t="str">
        <x:v>维护规则</x:v>
      </x:c>
    </x:row>
    <x:row r="11" ht="26" customHeight="1">
      <x:c r="A11" s="43" t="str">
        <x:v>1. CSV 为 UTF-8 with BOM，可直接被 Excel 和脚本读取。</x:v>
      </x:c>
      <x:c r="B11" s="43"/>
      <x:c r="C11" s="43"/>
      <x:c r="D11" s="43"/>
      <x:c r="E11" s="43"/>
    </x:row>
    <x:row r="12" ht="26" customHeight="1">
      <x:c r="A12" s="43" t="str">
        <x:v>2. 本地状态由文件是否存在决定，SHA-256 对每个离线文件计算。</x:v>
      </x:c>
      <x:c r="B12" s="43"/>
      <x:c r="C12" s="43"/>
      <x:c r="D12" s="43"/>
      <x:c r="E12" s="43"/>
    </x:row>
    <x:row r="13" ht="26" customHeight="1">
      <x:c r="A13" s="43" t="str">
        <x:v>3. 网络资源优先保留作者、机构、OpenCV 官方或项目仓库入口。</x:v>
      </x:c>
      <x:c r="B13" s="43"/>
      <x:c r="C13" s="43"/>
      <x:c r="D13" s="43"/>
      <x:c r="E13" s="43"/>
    </x:row>
    <x:row r="14" ht="26" customHeight="1">
      <x:c r="A14" s="43" t="str">
        <x:v>4. 付费、受限或大型资料不自动下载；先检查许可和数据规模。</x:v>
      </x:c>
      <x:c r="B14" s="43"/>
      <x:c r="C14" s="43"/>
      <x:c r="D14" s="43"/>
      <x:c r="E14" s="43"/>
    </x:row>
    <x:row r="15" ht="26" customHeight="1">
      <x:c r="A15" s="43" t="str">
        <x:v>5. 更新资料后重新运行索引生成程序，即可刷新状态与哈希。</x:v>
      </x:c>
      <x:c r="B15" s="43"/>
      <x:c r="C15" s="43"/>
      <x:c r="D15" s="43"/>
      <x:c r="E15" s="43"/>
    </x:row>
  </x:sheetData>
  <x:mergeCells>
    <x:mergeCell ref="A1:E1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